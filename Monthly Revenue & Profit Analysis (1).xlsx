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 defaultThemeVersion="166925"/>
  <xr:revisionPtr revIDLastSave="0" documentId="8_{AB583335-C083-44EA-BC9D-CED368E1716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W DATA" sheetId="2" r:id="rId1"/>
    <sheet name="SUMMARY " sheetId="6" r:id="rId2"/>
    <sheet name="backend" sheetId="7" state="hidden" r:id="rId3"/>
  </sheets>
  <definedNames>
    <definedName name="Slicer_Category1">#N/A</definedName>
    <definedName name="Slicer_Month1">#N/A</definedName>
    <definedName name="Slicer_State1">#N/A</definedName>
  </definedNames>
  <calcPr calcId="191028"/>
  <pivotCaches>
    <pivotCache cacheId="31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E6" i="6"/>
  <c r="B6" i="6"/>
  <c r="K6" i="6"/>
  <c r="Q6" i="6"/>
  <c r="N6" i="6"/>
</calcChain>
</file>

<file path=xl/sharedStrings.xml><?xml version="1.0" encoding="utf-8"?>
<sst xmlns="http://schemas.openxmlformats.org/spreadsheetml/2006/main" count="135" uniqueCount="57">
  <si>
    <t>Month</t>
  </si>
  <si>
    <t>State</t>
  </si>
  <si>
    <t>Category</t>
  </si>
  <si>
    <t>Product</t>
  </si>
  <si>
    <t>Revenue</t>
  </si>
  <si>
    <t>Cost</t>
  </si>
  <si>
    <t>Quantity</t>
  </si>
  <si>
    <t>PROFIT</t>
  </si>
  <si>
    <t>PROFIT MARGIN</t>
  </si>
  <si>
    <t>Jan</t>
  </si>
  <si>
    <t>Delhi</t>
  </si>
  <si>
    <t>Dairy</t>
  </si>
  <si>
    <t>Milk</t>
  </si>
  <si>
    <t>Snacks</t>
  </si>
  <si>
    <t>Chips</t>
  </si>
  <si>
    <t>Mumbai</t>
  </si>
  <si>
    <t>Fruits</t>
  </si>
  <si>
    <t>Apple</t>
  </si>
  <si>
    <t>Bangalore</t>
  </si>
  <si>
    <t>Beverages</t>
  </si>
  <si>
    <t>Juice</t>
  </si>
  <si>
    <t>Feb</t>
  </si>
  <si>
    <t>Curd</t>
  </si>
  <si>
    <t>X`</t>
  </si>
  <si>
    <t>Biscuits</t>
  </si>
  <si>
    <t>Banana</t>
  </si>
  <si>
    <t>Hyderabad</t>
  </si>
  <si>
    <t>Soft Drink</t>
  </si>
  <si>
    <t>Mar</t>
  </si>
  <si>
    <t>Grocery</t>
  </si>
  <si>
    <t>Rice</t>
  </si>
  <si>
    <t>Cheese</t>
  </si>
  <si>
    <t>Namkeen</t>
  </si>
  <si>
    <t>Orange</t>
  </si>
  <si>
    <t>Apr</t>
  </si>
  <si>
    <t>Wheat Flour</t>
  </si>
  <si>
    <t>Butter</t>
  </si>
  <si>
    <t>Coffee</t>
  </si>
  <si>
    <t>Cookies</t>
  </si>
  <si>
    <t>May</t>
  </si>
  <si>
    <t>Mango</t>
  </si>
  <si>
    <t>Sugar</t>
  </si>
  <si>
    <t>Paneer</t>
  </si>
  <si>
    <t>Energy Drink</t>
  </si>
  <si>
    <t xml:space="preserve">  Blinkit Sales Dashboard</t>
  </si>
  <si>
    <t>💰TOTAL REVENUE</t>
  </si>
  <si>
    <t>💸 TOTAL COST</t>
  </si>
  <si>
    <t>📈 TOTAL PROFIT</t>
  </si>
  <si>
    <t>📊 AVG MARGIN</t>
  </si>
  <si>
    <t>🏆 BEST MONTH</t>
  </si>
  <si>
    <t>🥛 BEST CATEGORY</t>
  </si>
  <si>
    <t>Sum of Revenue</t>
  </si>
  <si>
    <t>Sum of Cost</t>
  </si>
  <si>
    <t>Sum of PROFIT</t>
  </si>
  <si>
    <t xml:space="preserve"> </t>
  </si>
  <si>
    <t>Grand Total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</si>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</sst>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2"/>
      <color rgb="FFFFFFFF"/>
      <name val="Aptos Narrow"/>
      <family val="2"/>
    </font>
    <font>
      <sz val="10"/>
      <color theme="1"/>
      <name val="Calibri"/>
      <family val="2"/>
      <scheme val="minor"/>
    </font>
    <font>
      <b/>
      <sz val="28"/>
      <color theme="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10" fontId="2" fillId="3" borderId="3" xfId="0" applyNumberFormat="1" applyFont="1" applyFill="1" applyBorder="1" applyAlignment="1"/>
    <xf numFmtId="10" fontId="2" fillId="0" borderId="3" xfId="0" applyNumberFormat="1" applyFont="1" applyFill="1" applyBorder="1" applyAlignment="1"/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2" fillId="0" borderId="8" xfId="0" applyFont="1" applyFill="1" applyBorder="1" applyAlignment="1">
      <alignment wrapText="1"/>
    </xf>
    <xf numFmtId="10" fontId="2" fillId="0" borderId="9" xfId="0" applyNumberFormat="1" applyFont="1" applyFill="1" applyBorder="1" applyAlignment="1"/>
    <xf numFmtId="0" fontId="0" fillId="0" borderId="0" xfId="0" pivotButton="1"/>
    <xf numFmtId="0" fontId="0" fillId="0" borderId="14" xfId="0" applyBorder="1"/>
    <xf numFmtId="164" fontId="2" fillId="3" borderId="1" xfId="0" applyNumberFormat="1" applyFont="1" applyFill="1" applyBorder="1" applyAlignment="1">
      <alignment horizontal="center" wrapText="1" indent="1"/>
    </xf>
    <xf numFmtId="164" fontId="2" fillId="0" borderId="1" xfId="0" applyNumberFormat="1" applyFont="1" applyFill="1" applyBorder="1" applyAlignment="1">
      <alignment horizontal="center" wrapText="1" indent="1"/>
    </xf>
    <xf numFmtId="164" fontId="2" fillId="0" borderId="8" xfId="0" applyNumberFormat="1" applyFont="1" applyFill="1" applyBorder="1" applyAlignment="1">
      <alignment horizontal="center" wrapText="1" indent="1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/>
    <xf numFmtId="0" fontId="3" fillId="0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 vertical="center"/>
    </xf>
    <xf numFmtId="3" fontId="3" fillId="0" borderId="14" xfId="0" applyNumberFormat="1" applyFont="1" applyFill="1" applyBorder="1" applyAlignment="1">
      <alignment horizontal="center" indent="1"/>
    </xf>
    <xf numFmtId="3" fontId="3" fillId="0" borderId="14" xfId="0" applyNumberFormat="1" applyFont="1" applyFill="1" applyBorder="1" applyAlignment="1">
      <alignment horizontal="center"/>
    </xf>
    <xf numFmtId="10" fontId="3" fillId="0" borderId="14" xfId="0" applyNumberFormat="1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00000"/>
          <bgColor rgb="FF15608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5FD6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Revenue &amp; Profit Analysis.xlsx]SUMMARY 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Profit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'!$M$32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5B4-4DD7-A402-07F22DF30ED0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</c:dPt>
          <c:cat>
            <c:strRef>
              <c:f>'SUMMARY '!$L$33:$L$38</c:f>
              <c:strCache>
                <c:ptCount val="5"/>
                <c:pt idx="0">
                  <c:v>Snacks</c:v>
                </c:pt>
                <c:pt idx="1">
                  <c:v>Grocery</c:v>
                </c:pt>
                <c:pt idx="2">
                  <c:v>Fruits</c:v>
                </c:pt>
                <c:pt idx="3">
                  <c:v>Dairy</c:v>
                </c:pt>
                <c:pt idx="4">
                  <c:v>Beverages</c:v>
                </c:pt>
              </c:strCache>
            </c:strRef>
          </c:cat>
          <c:val>
            <c:numRef>
              <c:f>'SUMMARY '!$M$33:$M$38</c:f>
              <c:numCache>
                <c:formatCode>_(* #,##0_);_(* \(#,##0\);_(* "-"??_);_(@_)</c:formatCode>
                <c:ptCount val="5"/>
                <c:pt idx="0">
                  <c:v>68000</c:v>
                </c:pt>
                <c:pt idx="1">
                  <c:v>62000</c:v>
                </c:pt>
                <c:pt idx="2">
                  <c:v>73000</c:v>
                </c:pt>
                <c:pt idx="3">
                  <c:v>87000</c:v>
                </c:pt>
                <c:pt idx="4">
                  <c:v>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4-4DD7-A402-07F22DF30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8179336"/>
        <c:axId val="1238190600"/>
      </c:barChart>
      <c:catAx>
        <c:axId val="1238179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190600"/>
        <c:crosses val="autoZero"/>
        <c:auto val="1"/>
        <c:lblAlgn val="ctr"/>
        <c:lblOffset val="100"/>
        <c:noMultiLvlLbl val="0"/>
      </c:catAx>
      <c:valAx>
        <c:axId val="1238190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179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Revenue &amp; Profit Analysis.xlsx]SUMMARY 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Profit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'!$M$42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A8-4E63-A9C9-9D05BC76BAF4}"/>
              </c:ext>
            </c:extLst>
          </c:dPt>
          <c:cat>
            <c:strRef>
              <c:f>'SUMMARY '!$L$43:$L$47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Mumbai</c:v>
                </c:pt>
              </c:strCache>
            </c:strRef>
          </c:cat>
          <c:val>
            <c:numRef>
              <c:f>'SUMMARY '!$M$43:$M$47</c:f>
              <c:numCache>
                <c:formatCode>_(* #,##0_);_(* \(#,##0\);_(* "-"??_);_(@_)</c:formatCode>
                <c:ptCount val="4"/>
                <c:pt idx="0">
                  <c:v>302000</c:v>
                </c:pt>
                <c:pt idx="1">
                  <c:v>377000</c:v>
                </c:pt>
                <c:pt idx="2">
                  <c:v>259000</c:v>
                </c:pt>
                <c:pt idx="3">
                  <c:v>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8-4E63-A9C9-9D05BC76B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8213128"/>
        <c:axId val="1238220296"/>
      </c:barChart>
      <c:catAx>
        <c:axId val="1238213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20296"/>
        <c:crosses val="autoZero"/>
        <c:auto val="1"/>
        <c:lblAlgn val="ctr"/>
        <c:lblOffset val="100"/>
        <c:noMultiLvlLbl val="0"/>
      </c:catAx>
      <c:valAx>
        <c:axId val="1238220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1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Revenue &amp; Profit Analysis.xlsx]SUMMARY 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Analysis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'!$R$20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05-4127-83A6-6F92F43F8E01}"/>
              </c:ext>
            </c:extLst>
          </c:dPt>
          <c:cat>
            <c:strRef>
              <c:f>'SUMMARY '!$Q$21:$Q$26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'SUMMARY '!$R$21:$R$26</c:f>
              <c:numCache>
                <c:formatCode>_(* #,##0_);_(* \(#,##0\);_(* "-"??_);_(@_)</c:formatCode>
                <c:ptCount val="5"/>
                <c:pt idx="0">
                  <c:v>202000</c:v>
                </c:pt>
                <c:pt idx="1">
                  <c:v>218000</c:v>
                </c:pt>
                <c:pt idx="2">
                  <c:v>247000</c:v>
                </c:pt>
                <c:pt idx="3">
                  <c:v>282000</c:v>
                </c:pt>
                <c:pt idx="4">
                  <c:v>299000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5-4127-83A6-6F92F43F8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237640"/>
        <c:axId val="1320646664"/>
      </c:barChart>
      <c:catAx>
        <c:axId val="131923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646664"/>
        <c:crosses val="autoZero"/>
        <c:auto val="1"/>
        <c:lblAlgn val="ctr"/>
        <c:lblOffset val="100"/>
        <c:noMultiLvlLbl val="0"/>
      </c:catAx>
      <c:valAx>
        <c:axId val="132064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23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133350</xdr:rowOff>
    </xdr:from>
    <xdr:to>
      <xdr:col>11</xdr:col>
      <xdr:colOff>714375</xdr:colOff>
      <xdr:row>47</xdr:row>
      <xdr:rowOff>104775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D98FB37-04E7-9DF0-95A7-B5A8C18E91A7}"/>
            </a:ext>
            <a:ext uri="{147F2762-F138-4A5C-976F-8EAC2B608ADB}">
              <a16:predDERef xmlns:a16="http://schemas.microsoft.com/office/drawing/2014/main" pred="{A47E2CEF-F076-0681-28FD-F3A6D5687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361950</xdr:colOff>
      <xdr:row>7</xdr:row>
      <xdr:rowOff>0</xdr:rowOff>
    </xdr:from>
    <xdr:to>
      <xdr:col>17</xdr:col>
      <xdr:colOff>1152525</xdr:colOff>
      <xdr:row>47</xdr:row>
      <xdr:rowOff>114300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E9A1D91-3A0E-F7AC-DB0C-2C929205058E}"/>
            </a:ext>
            <a:ext uri="{147F2762-F138-4A5C-976F-8EAC2B608ADB}">
              <a16:predDERef xmlns:a16="http://schemas.microsoft.com/office/drawing/2014/main" pred="{0D98FB37-04E7-9DF0-95A7-B5A8C18E9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962025</xdr:colOff>
      <xdr:row>6</xdr:row>
      <xdr:rowOff>142875</xdr:rowOff>
    </xdr:from>
    <xdr:to>
      <xdr:col>6</xdr:col>
      <xdr:colOff>590550</xdr:colOff>
      <xdr:row>47</xdr:row>
      <xdr:rowOff>114300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1DA8216-A1FD-C398-B255-07914F204155}"/>
            </a:ext>
            <a:ext uri="{147F2762-F138-4A5C-976F-8EAC2B608ADB}">
              <a16:predDERef xmlns:a16="http://schemas.microsoft.com/office/drawing/2014/main" pred="{7E9A1D91-3A0E-F7AC-DB0C-2C9292050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476250</xdr:colOff>
      <xdr:row>50</xdr:row>
      <xdr:rowOff>47625</xdr:rowOff>
    </xdr:from>
    <xdr:to>
      <xdr:col>7</xdr:col>
      <xdr:colOff>438150</xdr:colOff>
      <xdr:row>58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Month">
              <a:extLst>
                <a:ext uri="{FF2B5EF4-FFF2-40B4-BE49-F238E27FC236}">
                  <a16:creationId xmlns:a16="http://schemas.microsoft.com/office/drawing/2014/main" id="{C4CE9963-24FF-DAEE-F73D-82CF59E99C0B}"/>
                </a:ext>
                <a:ext uri="{147F2762-F138-4A5C-976F-8EAC2B608ADB}">
                  <a16:predDERef xmlns:a16="http://schemas.microsoft.com/office/drawing/2014/main" pred="{D1DA8216-A1FD-C398-B255-07914F2041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25" y="3448050"/>
              <a:ext cx="184785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161925</xdr:colOff>
      <xdr:row>50</xdr:row>
      <xdr:rowOff>19050</xdr:rowOff>
    </xdr:from>
    <xdr:to>
      <xdr:col>10</xdr:col>
      <xdr:colOff>266700</xdr:colOff>
      <xdr:row>58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State">
              <a:extLst>
                <a:ext uri="{FF2B5EF4-FFF2-40B4-BE49-F238E27FC236}">
                  <a16:creationId xmlns:a16="http://schemas.microsoft.com/office/drawing/2014/main" id="{51AED8CF-5FA3-3A01-7E3C-34312C425A97}"/>
                </a:ext>
                <a:ext uri="{147F2762-F138-4A5C-976F-8EAC2B608ADB}">
                  <a16:predDERef xmlns:a16="http://schemas.microsoft.com/office/drawing/2014/main" pred="{C4CE9963-24FF-DAEE-F73D-82CF59E99C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6600" y="3448050"/>
              <a:ext cx="1800225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9525</xdr:colOff>
      <xdr:row>49</xdr:row>
      <xdr:rowOff>171450</xdr:rowOff>
    </xdr:from>
    <xdr:to>
      <xdr:col>13</xdr:col>
      <xdr:colOff>171450</xdr:colOff>
      <xdr:row>58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Category">
              <a:extLst>
                <a:ext uri="{FF2B5EF4-FFF2-40B4-BE49-F238E27FC236}">
                  <a16:creationId xmlns:a16="http://schemas.microsoft.com/office/drawing/2014/main" id="{5382D50D-6B28-7FE2-2CDE-5D286B2174DA}"/>
                </a:ext>
                <a:ext uri="{147F2762-F138-4A5C-976F-8EAC2B608ADB}">
                  <a16:predDERef xmlns:a16="http://schemas.microsoft.com/office/drawing/2014/main" pred="{51AED8CF-5FA3-3A01-7E3C-34312C425A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3457575"/>
              <a:ext cx="1895475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7.94945763889" createdVersion="8" refreshedVersion="8" minRefreshableVersion="3" recordCount="20" xr:uid="{360F6BD6-E1F4-4180-B29C-029BAD487B3F}">
  <cacheSource type="worksheet">
    <worksheetSource name="Table1"/>
  </cacheSource>
  <cacheFields count="9">
    <cacheField name="Month" numFmtId="0">
      <sharedItems count="5">
        <s v="Jan"/>
        <s v="Feb"/>
        <s v="Mar"/>
        <s v="Apr"/>
        <s v="May"/>
      </sharedItems>
    </cacheField>
    <cacheField name="State" numFmtId="0">
      <sharedItems count="4">
        <s v="Delhi"/>
        <s v="Mumbai"/>
        <s v="Bangalore"/>
        <s v="Hyderabad"/>
      </sharedItems>
    </cacheField>
    <cacheField name="Category" numFmtId="0">
      <sharedItems count="5">
        <s v="Dairy"/>
        <s v="Snacks"/>
        <s v="Fruits"/>
        <s v="Beverages"/>
        <s v="Grocery"/>
      </sharedItems>
    </cacheField>
    <cacheField name="Product" numFmtId="0">
      <sharedItems/>
    </cacheField>
    <cacheField name="Revenue" numFmtId="164">
      <sharedItems containsSemiMixedTypes="0" containsString="0" containsNumber="1" containsInteger="1" minValue="42000" maxValue="82000"/>
    </cacheField>
    <cacheField name="Cost" numFmtId="164">
      <sharedItems containsSemiMixedTypes="0" containsString="0" containsNumber="1" containsInteger="1" minValue="28000" maxValue="59000"/>
    </cacheField>
    <cacheField name="Quantity" numFmtId="0">
      <sharedItems containsSemiMixedTypes="0" containsString="0" containsNumber="1" containsInteger="1" minValue="210" maxValue="420"/>
    </cacheField>
    <cacheField name="PROFIT" numFmtId="164">
      <sharedItems containsSemiMixedTypes="0" containsString="0" containsNumber="1" containsInteger="1" minValue="14000" maxValue="23000"/>
    </cacheField>
    <cacheField name="PROFIT MARGIN" numFmtId="10">
      <sharedItems containsSemiMixedTypes="0" containsString="0" containsNumber="1" minValue="0.26229999999999998" maxValue="0.33329999999999999"/>
    </cacheField>
  </cacheFields>
  <extLst>
    <ext xmlns:x14="http://schemas.microsoft.com/office/spreadsheetml/2009/9/main" uri="{725AE2AE-9491-48be-B2B4-4EB974FC3084}">
      <x14:pivotCacheDefinition pivotCacheId="3753627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s v="Milk"/>
    <n v="52000"/>
    <n v="38000"/>
    <n v="260"/>
    <n v="14000"/>
    <n v="0.26919999999999999"/>
  </r>
  <r>
    <x v="0"/>
    <x v="0"/>
    <x v="1"/>
    <s v="Chips"/>
    <n v="42000"/>
    <n v="28000"/>
    <n v="350"/>
    <n v="14000"/>
    <n v="0.33329999999999999"/>
  </r>
  <r>
    <x v="0"/>
    <x v="1"/>
    <x v="2"/>
    <s v="Apple"/>
    <n v="61000"/>
    <n v="45000"/>
    <n v="300"/>
    <n v="16000"/>
    <n v="0.26229999999999998"/>
  </r>
  <r>
    <x v="0"/>
    <x v="2"/>
    <x v="3"/>
    <s v="Juice"/>
    <n v="47000"/>
    <n v="32000"/>
    <n v="280"/>
    <n v="15000"/>
    <n v="0.31909999999999999"/>
  </r>
  <r>
    <x v="1"/>
    <x v="0"/>
    <x v="0"/>
    <s v="Curd"/>
    <n v="55000"/>
    <n v="39000"/>
    <n v="290"/>
    <n v="16000"/>
    <n v="0.29089999999999999"/>
  </r>
  <r>
    <x v="1"/>
    <x v="1"/>
    <x v="1"/>
    <s v="Biscuits"/>
    <n v="48000"/>
    <n v="33000"/>
    <n v="340"/>
    <n v="15000"/>
    <n v="0.3125"/>
  </r>
  <r>
    <x v="1"/>
    <x v="2"/>
    <x v="2"/>
    <s v="Banana"/>
    <n v="53000"/>
    <n v="36000"/>
    <n v="420"/>
    <n v="17000"/>
    <n v="0.32079999999999997"/>
  </r>
  <r>
    <x v="1"/>
    <x v="3"/>
    <x v="3"/>
    <s v="Soft Drink"/>
    <n v="62000"/>
    <n v="44000"/>
    <n v="390"/>
    <n v="18000"/>
    <n v="0.2903"/>
  </r>
  <r>
    <x v="2"/>
    <x v="0"/>
    <x v="4"/>
    <s v="Rice"/>
    <n v="70000"/>
    <n v="50000"/>
    <n v="250"/>
    <n v="20000"/>
    <n v="0.28570000000000001"/>
  </r>
  <r>
    <x v="2"/>
    <x v="1"/>
    <x v="0"/>
    <s v="Cheese"/>
    <n v="65000"/>
    <n v="47000"/>
    <n v="220"/>
    <n v="18000"/>
    <n v="0.27689999999999998"/>
  </r>
  <r>
    <x v="2"/>
    <x v="2"/>
    <x v="1"/>
    <s v="Namkeen"/>
    <n v="58000"/>
    <n v="39000"/>
    <n v="360"/>
    <n v="19000"/>
    <n v="0.3276"/>
  </r>
  <r>
    <x v="2"/>
    <x v="3"/>
    <x v="2"/>
    <s v="Orange"/>
    <n v="54000"/>
    <n v="37000"/>
    <n v="310"/>
    <n v="17000"/>
    <n v="0.31480000000000002"/>
  </r>
  <r>
    <x v="3"/>
    <x v="0"/>
    <x v="4"/>
    <s v="Wheat Flour"/>
    <n v="76000"/>
    <n v="54000"/>
    <n v="260"/>
    <n v="22000"/>
    <n v="0.28949999999999998"/>
  </r>
  <r>
    <x v="3"/>
    <x v="1"/>
    <x v="0"/>
    <s v="Butter"/>
    <n v="69000"/>
    <n v="50000"/>
    <n v="210"/>
    <n v="19000"/>
    <n v="0.27539999999999998"/>
  </r>
  <r>
    <x v="3"/>
    <x v="2"/>
    <x v="3"/>
    <s v="Coffee"/>
    <n v="73000"/>
    <n v="52000"/>
    <n v="240"/>
    <n v="21000"/>
    <n v="0.28770000000000001"/>
  </r>
  <r>
    <x v="3"/>
    <x v="3"/>
    <x v="1"/>
    <s v="Cookies"/>
    <n v="64000"/>
    <n v="44000"/>
    <n v="330"/>
    <n v="20000"/>
    <n v="0.3125"/>
  </r>
  <r>
    <x v="4"/>
    <x v="0"/>
    <x v="2"/>
    <s v="Mango"/>
    <n v="82000"/>
    <n v="59000"/>
    <n v="270"/>
    <n v="23000"/>
    <n v="0.28050000000000003"/>
  </r>
  <r>
    <x v="4"/>
    <x v="1"/>
    <x v="4"/>
    <s v="Sugar"/>
    <n v="67000"/>
    <n v="47000"/>
    <n v="260"/>
    <n v="20000"/>
    <n v="0.29849999999999999"/>
  </r>
  <r>
    <x v="4"/>
    <x v="2"/>
    <x v="0"/>
    <s v="Paneer"/>
    <n v="71000"/>
    <n v="51000"/>
    <n v="230"/>
    <n v="20000"/>
    <n v="0.28170000000000001"/>
  </r>
  <r>
    <x v="4"/>
    <x v="3"/>
    <x v="3"/>
    <s v="Energy Drink"/>
    <n v="79000"/>
    <n v="56000"/>
    <n v="250"/>
    <n v="23000"/>
    <n v="0.2911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A6893-29BA-4AA7-9A41-76A538C3501D}" name="PivotTable2" cacheId="3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32:R33" firstHeaderRow="0" firstDataRow="1" firstDataCol="0"/>
  <pivotFields count="9"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6">
        <item x="3"/>
        <item x="0"/>
        <item x="2"/>
        <item x="4"/>
        <item x="1"/>
        <item t="default"/>
      </items>
    </pivotField>
    <pivotField compact="0" outline="0" showAll="0"/>
    <pivotField dataField="1" compact="0" numFmtId="164" outline="0" showAll="0"/>
    <pivotField dataField="1" compact="0" numFmtId="164" outline="0" showAll="0"/>
    <pivotField compact="0" outline="0" showAll="0"/>
    <pivotField dataField="1" compact="0" numFmtId="164" outline="0" showAll="0"/>
    <pivotField dataField="1" compact="0" numFmtId="1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4" baseField="0" baseItem="0" numFmtId="164"/>
    <dataField name="Sum of Cost" fld="5" baseField="0" baseItem="0" numFmtId="164"/>
    <dataField name="Sum of PROFIT" fld="7" baseField="0" baseItem="0" numFmtId="164"/>
    <dataField name="Sum of PROFIT MARGIN" fld="8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04041-9C92-40C4-8BD2-4492A004960D}" name="PivotTable21" cacheId="3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Q20:R26" firstHeaderRow="1" firstDataRow="1" firstDataCol="1"/>
  <pivotFields count="9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6">
        <item x="3"/>
        <item x="0"/>
        <item x="2"/>
        <item x="4"/>
        <item x="1"/>
        <item t="default"/>
      </items>
    </pivotField>
    <pivotField compact="0" outline="0" showAll="0"/>
    <pivotField dataField="1" compact="0" numFmtId="164" outline="0" showAll="0"/>
    <pivotField compact="0" numFmtId="164" outline="0" showAll="0"/>
    <pivotField compact="0" outline="0" showAll="0"/>
    <pivotField compact="0" numFmtId="164" outline="0" showAll="0"/>
    <pivotField compact="0" numFmtId="1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C7C0F-D821-42C3-833C-496D94D8152E}" name="PivotTable20" cacheId="3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42:M47" firstHeaderRow="1" firstDataRow="1" firstDataCol="1"/>
  <pivotFields count="9">
    <pivotField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6">
        <item x="3"/>
        <item x="0"/>
        <item x="2"/>
        <item x="4"/>
        <item x="1"/>
        <item t="default"/>
      </items>
    </pivotField>
    <pivotField compact="0" outline="0" showAll="0"/>
    <pivotField dataField="1" compact="0" numFmtId="164" outline="0" showAll="0"/>
    <pivotField compact="0" numFmtId="164" outline="0" showAll="0"/>
    <pivotField compact="0" outline="0" showAll="0"/>
    <pivotField compact="0" numFmtId="164" outline="0" showAll="0"/>
    <pivotField compact="0" numFmtId="1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5F71F-1601-4054-AFF9-DE1A76D4B472}" name="PivotTable19" cacheId="3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32:M38" firstHeaderRow="1" firstDataRow="1" firstDataCol="1"/>
  <pivotFields count="9"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axis="axisRow" compact="0" outline="0" showAll="0" sortType="descending">
      <items count="6">
        <item x="1"/>
        <item x="4"/>
        <item x="2"/>
        <item x="0"/>
        <item x="3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outline="0" showAll="0"/>
    <pivotField dataField="1" compact="0" numFmtId="164" outline="0" showAll="0"/>
    <pivotField compact="0" numFmtId="1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439FA-10CD-40F5-85E4-332397018F09}" name="PivotTable18" cacheId="3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L20:O26" firstHeaderRow="0" firstDataRow="1" firstDataCol="1"/>
  <pivotFields count="9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6">
        <item x="3"/>
        <item x="0"/>
        <item x="2"/>
        <item x="4"/>
        <item x="1"/>
        <item t="default"/>
      </items>
    </pivotField>
    <pivotField compact="0" outline="0" showAll="0"/>
    <pivotField dataField="1" compact="0" numFmtId="164" outline="0" showAll="0"/>
    <pivotField dataField="1" compact="0" numFmtId="164" outline="0" showAll="0"/>
    <pivotField compact="0" outline="0" showAll="0"/>
    <pivotField dataField="1" compact="0" numFmtId="164" outline="0" showAll="0"/>
    <pivotField compact="0" numFmtId="1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4" baseField="0" baseItem="0" numFmtId="164"/>
    <dataField name="Sum of Cost" fld="5" baseField="0" baseItem="0" numFmtId="164"/>
    <dataField name="Sum of PROFIT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1" xr10:uid="{695B8005-4365-4E15-93DB-98329BFD63A0}" sourceName="Month">
  <pivotTables>
    <pivotTable tabId="6" name="PivotTable18"/>
    <pivotTable tabId="6" name="PivotTable21"/>
    <pivotTable tabId="6" name="PivotTable20"/>
    <pivotTable tabId="6" name="PivotTable19"/>
    <pivotTable tabId="6" name="PivotTable2"/>
  </pivotTables>
  <data>
    <tabular pivotCacheId="375362782">
      <items count="5"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C22F5F98-8342-4DF3-83B0-91EF39677329}" sourceName="Category">
  <pivotTables>
    <pivotTable tabId="6" name="PivotTable18"/>
    <pivotTable tabId="6" name="PivotTable21"/>
    <pivotTable tabId="6" name="PivotTable20"/>
    <pivotTable tabId="6" name="PivotTable19"/>
    <pivotTable tabId="6" name="PivotTable2"/>
  </pivotTables>
  <data>
    <tabular pivotCacheId="375362782">
      <items count="5">
        <i x="3" s="1"/>
        <i x="0" s="1"/>
        <i x="2" s="1"/>
        <i x="4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1" xr10:uid="{1681E619-A74A-451F-A9DA-F7348CE2C050}" sourceName="State">
  <pivotTables>
    <pivotTable tabId="6" name="PivotTable18"/>
    <pivotTable tabId="6" name="PivotTable21"/>
    <pivotTable tabId="6" name="PivotTable20"/>
    <pivotTable tabId="6" name="PivotTable19"/>
    <pivotTable tabId="6" name="PivotTable2"/>
  </pivotTables>
  <data>
    <tabular pivotCacheId="375362782">
      <items count="4">
        <i x="2" s="1"/>
        <i x="0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F7AF863F-3F3D-4BEF-9417-7C8B060EBEF0}" cache="Slicer_Month1" caption="Month" rowHeight="228600"/>
  <slicer name="Category" xr10:uid="{60D72116-6CC2-4FBC-BB9E-20E447CA7074}" cache="Slicer_Category1" caption="Category" rowHeight="228600"/>
  <slicer name="State" xr10:uid="{9D8DEDE6-E27B-43E0-9276-E1EAA9E97CF4}" cache="Slicer_State1" caption="Stat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9F63BA-1710-4B1C-83E0-2473CA6DEA40}" name="Table1" displayName="Table1" ref="A1:I21" totalsRowShown="0" headerRowDxfId="13" dataDxfId="12" headerRowBorderDxfId="10" tableBorderDxfId="11" totalsRowBorderDxfId="9">
  <autoFilter ref="A1:I21" xr:uid="{3D9F63BA-1710-4B1C-83E0-2473CA6DEA40}"/>
  <tableColumns count="9">
    <tableColumn id="1" xr3:uid="{EB54E166-86ED-4309-8681-7F93790C3C41}" name="Month" dataDxfId="8"/>
    <tableColumn id="2" xr3:uid="{19D9EE1C-C63C-4B37-9AC0-3AB4CD0779F4}" name="State" dataDxfId="7"/>
    <tableColumn id="3" xr3:uid="{BC411936-D15F-4DEF-A2C3-140E71216F26}" name="Category" dataDxfId="6"/>
    <tableColumn id="4" xr3:uid="{41C90350-917D-40B7-97C6-CEFA29779549}" name="Product" dataDxfId="5"/>
    <tableColumn id="5" xr3:uid="{3017E707-F175-4B8D-9A92-B1F63969B6EF}" name="Revenue" dataDxfId="4"/>
    <tableColumn id="6" xr3:uid="{26F1A292-24D2-4716-9D0E-F1F64188C65C}" name="Cost" dataDxfId="3"/>
    <tableColumn id="7" xr3:uid="{8EB09971-E05A-4F3E-9C53-4B67D9C61A9A}" name="Quantity" dataDxfId="2"/>
    <tableColumn id="8" xr3:uid="{E370DBB9-4BD9-471F-82F2-5DBF838E08B8}" name="PROFIT" dataDxfId="1"/>
    <tableColumn id="9" xr3:uid="{C53DCC2B-6123-45D0-BE1A-400B98DB628A}" name="PROFIT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6651-8B0C-4A86-9DCC-4B5118547365}">
  <dimension ref="A1:N21"/>
  <sheetViews>
    <sheetView workbookViewId="0">
      <selection activeCell="K10" sqref="K10"/>
    </sheetView>
  </sheetViews>
  <sheetFormatPr defaultRowHeight="15"/>
  <cols>
    <col min="2" max="2" width="15.28515625" customWidth="1"/>
    <col min="3" max="3" width="17.140625" customWidth="1"/>
    <col min="4" max="4" width="10.140625" bestFit="1" customWidth="1"/>
    <col min="5" max="5" width="10.85546875" bestFit="1" customWidth="1"/>
    <col min="7" max="7" width="10.7109375" bestFit="1" customWidth="1"/>
    <col min="8" max="8" width="10.42578125" bestFit="1" customWidth="1"/>
    <col min="9" max="9" width="11.42578125" bestFit="1" customWidth="1"/>
  </cols>
  <sheetData>
    <row r="1" spans="1:14" ht="29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14">
      <c r="A2" s="3" t="s">
        <v>9</v>
      </c>
      <c r="B2" s="1" t="s">
        <v>10</v>
      </c>
      <c r="C2" s="1" t="s">
        <v>11</v>
      </c>
      <c r="D2" s="1" t="s">
        <v>12</v>
      </c>
      <c r="E2" s="15">
        <v>52000</v>
      </c>
      <c r="F2" s="15">
        <v>38000</v>
      </c>
      <c r="G2" s="1">
        <v>260</v>
      </c>
      <c r="H2" s="18">
        <v>14000</v>
      </c>
      <c r="I2" s="5">
        <v>0.26919999999999999</v>
      </c>
    </row>
    <row r="3" spans="1:14">
      <c r="A3" s="4" t="s">
        <v>9</v>
      </c>
      <c r="B3" s="2" t="s">
        <v>10</v>
      </c>
      <c r="C3" s="2" t="s">
        <v>13</v>
      </c>
      <c r="D3" s="2" t="s">
        <v>14</v>
      </c>
      <c r="E3" s="16">
        <v>42000</v>
      </c>
      <c r="F3" s="16">
        <v>28000</v>
      </c>
      <c r="G3" s="2">
        <v>350</v>
      </c>
      <c r="H3" s="19">
        <v>14000</v>
      </c>
      <c r="I3" s="6">
        <v>0.33329999999999999</v>
      </c>
    </row>
    <row r="4" spans="1:14">
      <c r="A4" s="3" t="s">
        <v>9</v>
      </c>
      <c r="B4" s="1" t="s">
        <v>15</v>
      </c>
      <c r="C4" s="1" t="s">
        <v>16</v>
      </c>
      <c r="D4" s="1" t="s">
        <v>17</v>
      </c>
      <c r="E4" s="15">
        <v>61000</v>
      </c>
      <c r="F4" s="15">
        <v>45000</v>
      </c>
      <c r="G4" s="1">
        <v>300</v>
      </c>
      <c r="H4" s="18">
        <v>16000</v>
      </c>
      <c r="I4" s="5">
        <v>0.26229999999999998</v>
      </c>
    </row>
    <row r="5" spans="1:14" ht="16.5" customHeight="1">
      <c r="A5" s="4" t="s">
        <v>9</v>
      </c>
      <c r="B5" s="2" t="s">
        <v>18</v>
      </c>
      <c r="C5" s="2" t="s">
        <v>19</v>
      </c>
      <c r="D5" s="2" t="s">
        <v>20</v>
      </c>
      <c r="E5" s="16">
        <v>47000</v>
      </c>
      <c r="F5" s="16">
        <v>32000</v>
      </c>
      <c r="G5" s="2">
        <v>280</v>
      </c>
      <c r="H5" s="19">
        <v>15000</v>
      </c>
      <c r="I5" s="6">
        <v>0.31909999999999999</v>
      </c>
    </row>
    <row r="6" spans="1:14">
      <c r="A6" s="3" t="s">
        <v>21</v>
      </c>
      <c r="B6" s="1" t="s">
        <v>10</v>
      </c>
      <c r="C6" s="1" t="s">
        <v>11</v>
      </c>
      <c r="D6" s="1" t="s">
        <v>22</v>
      </c>
      <c r="E6" s="15">
        <v>55000</v>
      </c>
      <c r="F6" s="15">
        <v>39000</v>
      </c>
      <c r="G6" s="1">
        <v>290</v>
      </c>
      <c r="H6" s="18">
        <v>16000</v>
      </c>
      <c r="I6" s="5">
        <v>0.29089999999999999</v>
      </c>
      <c r="N6" t="s">
        <v>23</v>
      </c>
    </row>
    <row r="7" spans="1:14">
      <c r="A7" s="4" t="s">
        <v>21</v>
      </c>
      <c r="B7" s="2" t="s">
        <v>15</v>
      </c>
      <c r="C7" s="2" t="s">
        <v>13</v>
      </c>
      <c r="D7" s="2" t="s">
        <v>24</v>
      </c>
      <c r="E7" s="16">
        <v>48000</v>
      </c>
      <c r="F7" s="16">
        <v>33000</v>
      </c>
      <c r="G7" s="2">
        <v>340</v>
      </c>
      <c r="H7" s="19">
        <v>15000</v>
      </c>
      <c r="I7" s="6">
        <v>0.3125</v>
      </c>
    </row>
    <row r="8" spans="1:14" ht="15" customHeight="1">
      <c r="A8" s="3" t="s">
        <v>21</v>
      </c>
      <c r="B8" s="1" t="s">
        <v>18</v>
      </c>
      <c r="C8" s="1" t="s">
        <v>16</v>
      </c>
      <c r="D8" s="1" t="s">
        <v>25</v>
      </c>
      <c r="E8" s="15">
        <v>53000</v>
      </c>
      <c r="F8" s="15">
        <v>36000</v>
      </c>
      <c r="G8" s="1">
        <v>420</v>
      </c>
      <c r="H8" s="18">
        <v>17000</v>
      </c>
      <c r="I8" s="5">
        <v>0.32079999999999997</v>
      </c>
    </row>
    <row r="9" spans="1:14" ht="16.5" customHeight="1">
      <c r="A9" s="4" t="s">
        <v>21</v>
      </c>
      <c r="B9" s="2" t="s">
        <v>26</v>
      </c>
      <c r="C9" s="2" t="s">
        <v>19</v>
      </c>
      <c r="D9" s="2" t="s">
        <v>27</v>
      </c>
      <c r="E9" s="16">
        <v>62000</v>
      </c>
      <c r="F9" s="16">
        <v>44000</v>
      </c>
      <c r="G9" s="2">
        <v>390</v>
      </c>
      <c r="H9" s="19">
        <v>18000</v>
      </c>
      <c r="I9" s="6">
        <v>0.2903</v>
      </c>
    </row>
    <row r="10" spans="1:14">
      <c r="A10" s="3" t="s">
        <v>28</v>
      </c>
      <c r="B10" s="1" t="s">
        <v>10</v>
      </c>
      <c r="C10" s="1" t="s">
        <v>29</v>
      </c>
      <c r="D10" s="1" t="s">
        <v>30</v>
      </c>
      <c r="E10" s="15">
        <v>70000</v>
      </c>
      <c r="F10" s="15">
        <v>50000</v>
      </c>
      <c r="G10" s="1">
        <v>250</v>
      </c>
      <c r="H10" s="18">
        <v>20000</v>
      </c>
      <c r="I10" s="5">
        <v>0.28570000000000001</v>
      </c>
    </row>
    <row r="11" spans="1:14">
      <c r="A11" s="4" t="s">
        <v>28</v>
      </c>
      <c r="B11" s="2" t="s">
        <v>15</v>
      </c>
      <c r="C11" s="2" t="s">
        <v>11</v>
      </c>
      <c r="D11" s="2" t="s">
        <v>31</v>
      </c>
      <c r="E11" s="16">
        <v>65000</v>
      </c>
      <c r="F11" s="16">
        <v>47000</v>
      </c>
      <c r="G11" s="2">
        <v>220</v>
      </c>
      <c r="H11" s="19">
        <v>18000</v>
      </c>
      <c r="I11" s="6">
        <v>0.27689999999999998</v>
      </c>
    </row>
    <row r="12" spans="1:14" ht="17.25" customHeight="1">
      <c r="A12" s="3" t="s">
        <v>28</v>
      </c>
      <c r="B12" s="1" t="s">
        <v>18</v>
      </c>
      <c r="C12" s="1" t="s">
        <v>13</v>
      </c>
      <c r="D12" s="1" t="s">
        <v>32</v>
      </c>
      <c r="E12" s="15">
        <v>58000</v>
      </c>
      <c r="F12" s="15">
        <v>39000</v>
      </c>
      <c r="G12" s="1">
        <v>360</v>
      </c>
      <c r="H12" s="18">
        <v>19000</v>
      </c>
      <c r="I12" s="5">
        <v>0.3276</v>
      </c>
    </row>
    <row r="13" spans="1:14" ht="14.25" customHeight="1">
      <c r="A13" s="4" t="s">
        <v>28</v>
      </c>
      <c r="B13" s="2" t="s">
        <v>26</v>
      </c>
      <c r="C13" s="2" t="s">
        <v>16</v>
      </c>
      <c r="D13" s="2" t="s">
        <v>33</v>
      </c>
      <c r="E13" s="16">
        <v>54000</v>
      </c>
      <c r="F13" s="16">
        <v>37000</v>
      </c>
      <c r="G13" s="2">
        <v>310</v>
      </c>
      <c r="H13" s="19">
        <v>17000</v>
      </c>
      <c r="I13" s="6">
        <v>0.31480000000000002</v>
      </c>
    </row>
    <row r="14" spans="1:14" ht="15.75" customHeight="1">
      <c r="A14" s="3" t="s">
        <v>34</v>
      </c>
      <c r="B14" s="1" t="s">
        <v>10</v>
      </c>
      <c r="C14" s="1" t="s">
        <v>29</v>
      </c>
      <c r="D14" s="1" t="s">
        <v>35</v>
      </c>
      <c r="E14" s="15">
        <v>76000</v>
      </c>
      <c r="F14" s="15">
        <v>54000</v>
      </c>
      <c r="G14" s="1">
        <v>260</v>
      </c>
      <c r="H14" s="18">
        <v>22000</v>
      </c>
      <c r="I14" s="5">
        <v>0.28949999999999998</v>
      </c>
    </row>
    <row r="15" spans="1:14">
      <c r="A15" s="4" t="s">
        <v>34</v>
      </c>
      <c r="B15" s="2" t="s">
        <v>15</v>
      </c>
      <c r="C15" s="2" t="s">
        <v>11</v>
      </c>
      <c r="D15" s="2" t="s">
        <v>36</v>
      </c>
      <c r="E15" s="16">
        <v>69000</v>
      </c>
      <c r="F15" s="16">
        <v>50000</v>
      </c>
      <c r="G15" s="2">
        <v>210</v>
      </c>
      <c r="H15" s="19">
        <v>19000</v>
      </c>
      <c r="I15" s="6">
        <v>0.27539999999999998</v>
      </c>
    </row>
    <row r="16" spans="1:14" ht="17.25" customHeight="1">
      <c r="A16" s="3" t="s">
        <v>34</v>
      </c>
      <c r="B16" s="1" t="s">
        <v>18</v>
      </c>
      <c r="C16" s="1" t="s">
        <v>19</v>
      </c>
      <c r="D16" s="1" t="s">
        <v>37</v>
      </c>
      <c r="E16" s="15">
        <v>73000</v>
      </c>
      <c r="F16" s="15">
        <v>52000</v>
      </c>
      <c r="G16" s="1">
        <v>240</v>
      </c>
      <c r="H16" s="18">
        <v>21000</v>
      </c>
      <c r="I16" s="5">
        <v>0.28770000000000001</v>
      </c>
    </row>
    <row r="17" spans="1:9" ht="17.25" customHeight="1">
      <c r="A17" s="4" t="s">
        <v>34</v>
      </c>
      <c r="B17" s="2" t="s">
        <v>26</v>
      </c>
      <c r="C17" s="2" t="s">
        <v>13</v>
      </c>
      <c r="D17" s="2" t="s">
        <v>38</v>
      </c>
      <c r="E17" s="16">
        <v>64000</v>
      </c>
      <c r="F17" s="16">
        <v>44000</v>
      </c>
      <c r="G17" s="2">
        <v>330</v>
      </c>
      <c r="H17" s="19">
        <v>20000</v>
      </c>
      <c r="I17" s="6">
        <v>0.3125</v>
      </c>
    </row>
    <row r="18" spans="1:9">
      <c r="A18" s="3" t="s">
        <v>39</v>
      </c>
      <c r="B18" s="1" t="s">
        <v>10</v>
      </c>
      <c r="C18" s="1" t="s">
        <v>16</v>
      </c>
      <c r="D18" s="1" t="s">
        <v>40</v>
      </c>
      <c r="E18" s="15">
        <v>82000</v>
      </c>
      <c r="F18" s="15">
        <v>59000</v>
      </c>
      <c r="G18" s="1">
        <v>270</v>
      </c>
      <c r="H18" s="18">
        <v>23000</v>
      </c>
      <c r="I18" s="5">
        <v>0.28050000000000003</v>
      </c>
    </row>
    <row r="19" spans="1:9">
      <c r="A19" s="4" t="s">
        <v>39</v>
      </c>
      <c r="B19" s="2" t="s">
        <v>15</v>
      </c>
      <c r="C19" s="2" t="s">
        <v>29</v>
      </c>
      <c r="D19" s="2" t="s">
        <v>41</v>
      </c>
      <c r="E19" s="16">
        <v>67000</v>
      </c>
      <c r="F19" s="16">
        <v>47000</v>
      </c>
      <c r="G19" s="2">
        <v>260</v>
      </c>
      <c r="H19" s="19">
        <v>20000</v>
      </c>
      <c r="I19" s="6">
        <v>0.29849999999999999</v>
      </c>
    </row>
    <row r="20" spans="1:9" ht="17.25" customHeight="1">
      <c r="A20" s="3" t="s">
        <v>39</v>
      </c>
      <c r="B20" s="1" t="s">
        <v>18</v>
      </c>
      <c r="C20" s="1" t="s">
        <v>11</v>
      </c>
      <c r="D20" s="1" t="s">
        <v>42</v>
      </c>
      <c r="E20" s="15">
        <v>71000</v>
      </c>
      <c r="F20" s="15">
        <v>51000</v>
      </c>
      <c r="G20" s="1">
        <v>230</v>
      </c>
      <c r="H20" s="18">
        <v>20000</v>
      </c>
      <c r="I20" s="5">
        <v>0.28170000000000001</v>
      </c>
    </row>
    <row r="21" spans="1:9" ht="20.25" customHeight="1">
      <c r="A21" s="10" t="s">
        <v>39</v>
      </c>
      <c r="B21" s="11" t="s">
        <v>26</v>
      </c>
      <c r="C21" s="11" t="s">
        <v>19</v>
      </c>
      <c r="D21" s="11" t="s">
        <v>43</v>
      </c>
      <c r="E21" s="17">
        <v>79000</v>
      </c>
      <c r="F21" s="17">
        <v>56000</v>
      </c>
      <c r="G21" s="11">
        <v>250</v>
      </c>
      <c r="H21" s="20">
        <v>23000</v>
      </c>
      <c r="I21" s="12">
        <v>0.29110000000000003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D032-1C97-48D3-9EB5-A1011D809F0E}">
  <dimension ref="A1:S47"/>
  <sheetViews>
    <sheetView showGridLines="0" tabSelected="1" workbookViewId="0">
      <selection activeCell="R72" sqref="R72"/>
    </sheetView>
  </sheetViews>
  <sheetFormatPr defaultRowHeight="15"/>
  <cols>
    <col min="1" max="1" width="15.28515625" bestFit="1" customWidth="1"/>
    <col min="2" max="2" width="6.85546875" bestFit="1" customWidth="1"/>
    <col min="3" max="3" width="17.28515625" customWidth="1"/>
    <col min="4" max="4" width="12.85546875" bestFit="1" customWidth="1"/>
    <col min="5" max="5" width="6.85546875" customWidth="1"/>
    <col min="6" max="6" width="16.85546875" customWidth="1"/>
    <col min="7" max="7" width="11.42578125" bestFit="1" customWidth="1"/>
    <col min="8" max="8" width="15.28515625" bestFit="1" customWidth="1"/>
    <col min="9" max="9" width="14" bestFit="1" customWidth="1"/>
    <col min="10" max="10" width="11.42578125" bestFit="1" customWidth="1"/>
    <col min="11" max="11" width="15.28515625" bestFit="1" customWidth="1"/>
    <col min="12" max="12" width="12" bestFit="1" customWidth="1"/>
    <col min="13" max="13" width="14" bestFit="1" customWidth="1"/>
    <col min="14" max="14" width="11.42578125" bestFit="1" customWidth="1"/>
    <col min="15" max="15" width="15.28515625" bestFit="1" customWidth="1"/>
    <col min="16" max="16" width="11.42578125" bestFit="1" customWidth="1"/>
    <col min="17" max="17" width="14" bestFit="1" customWidth="1"/>
    <col min="18" max="18" width="22.140625" customWidth="1"/>
  </cols>
  <sheetData>
    <row r="1" spans="1:19" ht="15" customHeight="1">
      <c r="A1" s="28" t="s">
        <v>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</row>
    <row r="2" spans="1:19" ht="15" customHeigh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</row>
    <row r="3" spans="1:19" ht="15" customHeight="1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</row>
    <row r="5" spans="1:19" ht="15.75">
      <c r="B5" s="24" t="s">
        <v>45</v>
      </c>
      <c r="C5" s="24"/>
      <c r="E5" s="24" t="s">
        <v>46</v>
      </c>
      <c r="F5" s="24"/>
      <c r="H5" s="24" t="s">
        <v>47</v>
      </c>
      <c r="I5" s="24"/>
      <c r="K5" s="24" t="s">
        <v>48</v>
      </c>
      <c r="L5" s="24"/>
      <c r="N5" s="24" t="s">
        <v>49</v>
      </c>
      <c r="O5" s="24"/>
      <c r="Q5" s="24" t="s">
        <v>50</v>
      </c>
      <c r="R5" s="24"/>
    </row>
    <row r="6" spans="1:19" ht="15.75">
      <c r="B6" s="25">
        <f>O33</f>
        <v>1248000</v>
      </c>
      <c r="C6" s="25"/>
      <c r="E6" s="26">
        <f>P33</f>
        <v>881000</v>
      </c>
      <c r="F6" s="23"/>
      <c r="H6" s="26">
        <f>Q33</f>
        <v>367000</v>
      </c>
      <c r="I6" s="23"/>
      <c r="K6" s="27">
        <f>AVERAGE(Table1[PROFIT MARGIN])</f>
        <v>0.29601499999999997</v>
      </c>
      <c r="L6" s="23"/>
      <c r="N6" s="23" t="str">
        <f>INDEX(L21:L25,MATCH(MAX(M21:M25),M21:M25,0))</f>
        <v>May</v>
      </c>
      <c r="O6" s="23"/>
      <c r="Q6" s="23" t="str">
        <f>INDEX(L33:L37,MATCH(MAX(M33:M37),M33:M37,0))</f>
        <v>Dairy</v>
      </c>
      <c r="R6" s="23"/>
    </row>
    <row r="17" spans="6:18" ht="25.5" customHeight="1"/>
    <row r="19" spans="6:18" hidden="1"/>
    <row r="20" spans="6:18" hidden="1">
      <c r="L20" s="13" t="s">
        <v>0</v>
      </c>
      <c r="M20" t="s">
        <v>51</v>
      </c>
      <c r="N20" t="s">
        <v>52</v>
      </c>
      <c r="O20" t="s">
        <v>53</v>
      </c>
      <c r="Q20" s="13" t="s">
        <v>0</v>
      </c>
      <c r="R20" t="s">
        <v>51</v>
      </c>
    </row>
    <row r="21" spans="6:18" hidden="1">
      <c r="L21" t="s">
        <v>9</v>
      </c>
      <c r="M21" s="22">
        <v>202000</v>
      </c>
      <c r="N21" s="22">
        <v>143000</v>
      </c>
      <c r="O21" s="22">
        <v>59000</v>
      </c>
      <c r="Q21" t="s">
        <v>9</v>
      </c>
      <c r="R21" s="22">
        <v>202000</v>
      </c>
    </row>
    <row r="22" spans="6:18" hidden="1">
      <c r="K22" t="s">
        <v>54</v>
      </c>
      <c r="L22" t="s">
        <v>21</v>
      </c>
      <c r="M22" s="22">
        <v>218000</v>
      </c>
      <c r="N22" s="22">
        <v>152000</v>
      </c>
      <c r="O22" s="22">
        <v>66000</v>
      </c>
      <c r="Q22" t="s">
        <v>21</v>
      </c>
      <c r="R22" s="22">
        <v>218000</v>
      </c>
    </row>
    <row r="23" spans="6:18" hidden="1">
      <c r="L23" t="s">
        <v>28</v>
      </c>
      <c r="M23" s="22">
        <v>247000</v>
      </c>
      <c r="N23" s="22">
        <v>173000</v>
      </c>
      <c r="O23" s="22">
        <v>74000</v>
      </c>
      <c r="Q23" t="s">
        <v>28</v>
      </c>
      <c r="R23" s="22">
        <v>247000</v>
      </c>
    </row>
    <row r="24" spans="6:18" hidden="1">
      <c r="L24" t="s">
        <v>34</v>
      </c>
      <c r="M24" s="22">
        <v>282000</v>
      </c>
      <c r="N24" s="22">
        <v>200000</v>
      </c>
      <c r="O24" s="22">
        <v>82000</v>
      </c>
      <c r="Q24" t="s">
        <v>34</v>
      </c>
      <c r="R24" s="22">
        <v>282000</v>
      </c>
    </row>
    <row r="25" spans="6:18" hidden="1">
      <c r="L25" t="s">
        <v>39</v>
      </c>
      <c r="M25" s="22">
        <v>299000</v>
      </c>
      <c r="N25" s="22">
        <v>213000</v>
      </c>
      <c r="O25" s="22">
        <v>86000</v>
      </c>
      <c r="Q25" t="s">
        <v>39</v>
      </c>
      <c r="R25" s="22">
        <v>299000</v>
      </c>
    </row>
    <row r="26" spans="6:18" hidden="1">
      <c r="L26" t="s">
        <v>55</v>
      </c>
      <c r="M26" s="22">
        <v>1248000</v>
      </c>
      <c r="N26" s="22">
        <v>881000</v>
      </c>
      <c r="O26" s="22">
        <v>367000</v>
      </c>
      <c r="Q26" t="s">
        <v>55</v>
      </c>
      <c r="R26" s="22">
        <v>1248000</v>
      </c>
    </row>
    <row r="27" spans="6:18" hidden="1"/>
    <row r="28" spans="6:18" hidden="1"/>
    <row r="29" spans="6:18" hidden="1"/>
    <row r="30" spans="6:18" hidden="1">
      <c r="F30" s="21"/>
    </row>
    <row r="31" spans="6:18" hidden="1">
      <c r="F31" s="21"/>
    </row>
    <row r="32" spans="6:18" hidden="1">
      <c r="F32" s="21"/>
      <c r="L32" s="13" t="s">
        <v>2</v>
      </c>
      <c r="M32" t="s">
        <v>53</v>
      </c>
      <c r="O32" t="s">
        <v>51</v>
      </c>
      <c r="P32" t="s">
        <v>52</v>
      </c>
      <c r="Q32" t="s">
        <v>53</v>
      </c>
      <c r="R32" t="s">
        <v>56</v>
      </c>
    </row>
    <row r="33" spans="4:18" hidden="1">
      <c r="F33" s="21"/>
      <c r="L33" t="s">
        <v>13</v>
      </c>
      <c r="M33" s="22">
        <v>68000</v>
      </c>
      <c r="O33" s="22">
        <v>1248000</v>
      </c>
      <c r="P33" s="22">
        <v>881000</v>
      </c>
      <c r="Q33" s="22">
        <v>367000</v>
      </c>
      <c r="R33" s="37">
        <v>5.9202999999999992</v>
      </c>
    </row>
    <row r="34" spans="4:18" hidden="1">
      <c r="F34" s="21"/>
      <c r="L34" t="s">
        <v>29</v>
      </c>
      <c r="M34" s="22">
        <v>62000</v>
      </c>
    </row>
    <row r="35" spans="4:18" hidden="1">
      <c r="F35" s="21"/>
      <c r="L35" t="s">
        <v>16</v>
      </c>
      <c r="M35" s="22">
        <v>73000</v>
      </c>
    </row>
    <row r="36" spans="4:18" hidden="1">
      <c r="F36" s="21"/>
      <c r="L36" t="s">
        <v>11</v>
      </c>
      <c r="M36" s="22">
        <v>87000</v>
      </c>
    </row>
    <row r="37" spans="4:18" hidden="1">
      <c r="L37" t="s">
        <v>19</v>
      </c>
      <c r="M37" s="22">
        <v>77000</v>
      </c>
    </row>
    <row r="38" spans="4:18" hidden="1">
      <c r="L38" t="s">
        <v>55</v>
      </c>
      <c r="M38" s="22">
        <v>367000</v>
      </c>
    </row>
    <row r="39" spans="4:18" hidden="1"/>
    <row r="40" spans="4:18" hidden="1"/>
    <row r="41" spans="4:18" hidden="1"/>
    <row r="42" spans="4:18" hidden="1">
      <c r="L42" s="13" t="s">
        <v>1</v>
      </c>
      <c r="M42" t="s">
        <v>51</v>
      </c>
    </row>
    <row r="43" spans="4:18" hidden="1">
      <c r="L43" t="s">
        <v>18</v>
      </c>
      <c r="M43" s="22">
        <v>302000</v>
      </c>
    </row>
    <row r="44" spans="4:18" hidden="1">
      <c r="D44" s="14"/>
      <c r="L44" t="s">
        <v>10</v>
      </c>
      <c r="M44" s="22">
        <v>377000</v>
      </c>
    </row>
    <row r="45" spans="4:18" hidden="1">
      <c r="L45" t="s">
        <v>26</v>
      </c>
      <c r="M45" s="22">
        <v>259000</v>
      </c>
    </row>
    <row r="46" spans="4:18" hidden="1">
      <c r="L46" t="s">
        <v>15</v>
      </c>
      <c r="M46" s="22">
        <v>310000</v>
      </c>
    </row>
    <row r="47" spans="4:18" hidden="1">
      <c r="L47" t="s">
        <v>55</v>
      </c>
      <c r="M47" s="22">
        <v>1248000</v>
      </c>
    </row>
  </sheetData>
  <mergeCells count="13">
    <mergeCell ref="N6:O6"/>
    <mergeCell ref="A1:S3"/>
    <mergeCell ref="Q5:R5"/>
    <mergeCell ref="Q6:R6"/>
    <mergeCell ref="B5:C5"/>
    <mergeCell ref="B6:C6"/>
    <mergeCell ref="E5:F5"/>
    <mergeCell ref="E6:F6"/>
    <mergeCell ref="H5:I5"/>
    <mergeCell ref="H6:I6"/>
    <mergeCell ref="K5:L5"/>
    <mergeCell ref="K6:L6"/>
    <mergeCell ref="N5:O5"/>
  </mergeCells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2B2B-4ED8-498B-9BD0-1E2FA9C6769B}">
  <dimension ref="A1"/>
  <sheetViews>
    <sheetView workbookViewId="0">
      <selection sqref="A1:C2"/>
    </sheetView>
  </sheetViews>
  <sheetFormatPr defaultRowHeight="15"/>
  <cols>
    <col min="1" max="1" width="11.42578125" bestFit="1" customWidth="1"/>
    <col min="2" max="2" width="15.28515625" bestFit="1" customWidth="1"/>
    <col min="3" max="3" width="14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2026-06-22T14:33:32Z</dcterms:created>
  <dcterms:modified xsi:type="dcterms:W3CDTF">2026-07-15T07:06:44Z</dcterms:modified>
  <cp:category/>
  <cp:contentStatus/>
</cp:coreProperties>
</file>